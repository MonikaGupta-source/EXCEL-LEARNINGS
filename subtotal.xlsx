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736FC78F-E131-4E10-89B3-F42C09FC1CFB}" xr6:coauthVersionLast="47" xr6:coauthVersionMax="47" xr10:uidLastSave="{00000000-0000-0000-0000-000000000000}"/>
  <bookViews>
    <workbookView xWindow="-108" yWindow="-108" windowWidth="23256" windowHeight="12456" xr2:uid="{47E8BCDC-0BB3-40F0-BA04-937F99324ECD}"/>
  </bookViews>
  <sheets>
    <sheet name="Sheet1" sheetId="1" r:id="rId1"/>
  </sheets>
  <definedNames>
    <definedName name="_xlnm._FilterDatabase" localSheetId="0" hidden="1">Sheet1!$A$1:$F$11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I12" i="1"/>
  <c r="I11" i="1"/>
  <c r="I10" i="1"/>
  <c r="I9" i="1"/>
  <c r="I23" i="1"/>
  <c r="I22" i="1"/>
  <c r="I21" i="1"/>
  <c r="H20" i="1"/>
  <c r="I2" i="1"/>
</calcChain>
</file>

<file path=xl/sharedStrings.xml><?xml version="1.0" encoding="utf-8"?>
<sst xmlns="http://schemas.openxmlformats.org/spreadsheetml/2006/main" count="46" uniqueCount="29">
  <si>
    <t>OrderID</t>
  </si>
  <si>
    <t>Product</t>
  </si>
  <si>
    <t>Region</t>
  </si>
  <si>
    <t>Sales</t>
  </si>
  <si>
    <t>Quantity</t>
  </si>
  <si>
    <t>SalesRep</t>
  </si>
  <si>
    <t>Laptop</t>
  </si>
  <si>
    <t>North</t>
  </si>
  <si>
    <t>Raj</t>
  </si>
  <si>
    <t>Mouse</t>
  </si>
  <si>
    <t>East</t>
  </si>
  <si>
    <t>Meena</t>
  </si>
  <si>
    <t>Keyboard</t>
  </si>
  <si>
    <t>South</t>
  </si>
  <si>
    <t>Aditi</t>
  </si>
  <si>
    <t>Monitor</t>
  </si>
  <si>
    <t>West</t>
  </si>
  <si>
    <t>Karan</t>
  </si>
  <si>
    <t>Sonia</t>
  </si>
  <si>
    <t>COUNT</t>
  </si>
  <si>
    <t>CONTA</t>
  </si>
  <si>
    <t>COUNTIF</t>
  </si>
  <si>
    <t>COUNTBLANK</t>
  </si>
  <si>
    <t xml:space="preserve">countifs </t>
  </si>
  <si>
    <t>SUM</t>
  </si>
  <si>
    <t>SUMIF</t>
  </si>
  <si>
    <t>SUMIFS</t>
  </si>
  <si>
    <t>SUMTOTAL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</si>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</sst>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  <font>
      <b/>
      <sz val="16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3" fontId="2" fillId="3" borderId="5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/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8FE85-3FDA-4C1B-99C9-984AEB37F19C}" name="Table2" displayName="Table2" ref="E1:E2" insertRow="1" insertRowShift="1" totalsRowShown="0" headerRowDxfId="0" dataDxfId="1" tableBorderDxfId="3">
  <autoFilter ref="E1:E2" xr:uid="{5278FE85-3FDA-4C1B-99C9-984AEB37F19C}"/>
  <tableColumns count="1">
    <tableColumn id="1" xr3:uid="{0046147F-57C4-46E2-88BE-09190741EFF9}" name="Quant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8F6F-DD37-492E-A1C7-02CA1BEEA8BB}">
  <dimension ref="A1:I23"/>
  <sheetViews>
    <sheetView tabSelected="1" workbookViewId="0">
      <selection activeCell="B12" sqref="B12"/>
    </sheetView>
  </sheetViews>
  <sheetFormatPr defaultRowHeight="14.4" x14ac:dyDescent="0.3"/>
  <cols>
    <col min="1" max="1" width="18" customWidth="1"/>
    <col min="2" max="2" width="19.6640625" customWidth="1"/>
    <col min="3" max="3" width="17" customWidth="1"/>
    <col min="4" max="4" width="18.6640625" customWidth="1"/>
    <col min="5" max="5" width="16.21875" customWidth="1"/>
    <col min="6" max="6" width="15.5546875" customWidth="1"/>
  </cols>
  <sheetData>
    <row r="1" spans="1:9" ht="21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  <c r="F1" s="15" t="s">
        <v>5</v>
      </c>
    </row>
    <row r="2" spans="1:9" ht="21.6" thickBot="1" x14ac:dyDescent="0.35">
      <c r="A2" s="5">
        <v>1001</v>
      </c>
      <c r="B2" s="6" t="s">
        <v>6</v>
      </c>
      <c r="C2" s="6" t="s">
        <v>7</v>
      </c>
      <c r="D2" s="7">
        <v>55000</v>
      </c>
      <c r="E2" s="14"/>
      <c r="F2" s="16" t="s">
        <v>8</v>
      </c>
      <c r="H2" t="s">
        <v>19</v>
      </c>
      <c r="I2">
        <f>COUNT(D2:D11)</f>
        <v>8</v>
      </c>
    </row>
    <row r="3" spans="1:9" ht="26.4" customHeight="1" thickBot="1" x14ac:dyDescent="0.35">
      <c r="A3" s="9">
        <v>1002</v>
      </c>
      <c r="B3" s="3" t="s">
        <v>9</v>
      </c>
      <c r="C3" s="3" t="s">
        <v>10</v>
      </c>
      <c r="D3" s="10">
        <v>3000</v>
      </c>
      <c r="E3" s="18">
        <v>5</v>
      </c>
      <c r="F3" s="2" t="s">
        <v>11</v>
      </c>
    </row>
    <row r="4" spans="1:9" ht="21.6" thickBot="1" x14ac:dyDescent="0.35">
      <c r="A4" s="5">
        <v>1003</v>
      </c>
      <c r="B4" s="6" t="s">
        <v>12</v>
      </c>
      <c r="C4" s="6" t="s">
        <v>7</v>
      </c>
      <c r="D4" s="7">
        <v>7500</v>
      </c>
      <c r="E4" s="9">
        <v>15</v>
      </c>
      <c r="F4" s="8" t="s">
        <v>8</v>
      </c>
    </row>
    <row r="5" spans="1:9" ht="21.6" thickBot="1" x14ac:dyDescent="0.35">
      <c r="A5" s="9">
        <v>1004</v>
      </c>
      <c r="B5" s="3" t="s">
        <v>6</v>
      </c>
      <c r="C5" s="3" t="s">
        <v>13</v>
      </c>
      <c r="D5" s="10">
        <v>60000</v>
      </c>
      <c r="E5" s="5">
        <v>10</v>
      </c>
      <c r="F5" s="2" t="s">
        <v>14</v>
      </c>
    </row>
    <row r="6" spans="1:9" ht="21.6" thickBot="1" x14ac:dyDescent="0.35">
      <c r="A6" s="5">
        <v>1005</v>
      </c>
      <c r="B6" s="6" t="s">
        <v>15</v>
      </c>
      <c r="C6" s="6" t="s">
        <v>10</v>
      </c>
      <c r="D6" s="7"/>
      <c r="E6" s="9">
        <v>6</v>
      </c>
      <c r="F6" s="8" t="s">
        <v>11</v>
      </c>
    </row>
    <row r="7" spans="1:9" ht="21.6" thickBot="1" x14ac:dyDescent="0.35">
      <c r="A7" s="9">
        <v>1006</v>
      </c>
      <c r="B7" s="3" t="s">
        <v>6</v>
      </c>
      <c r="C7" s="3" t="s">
        <v>16</v>
      </c>
      <c r="D7" s="10">
        <v>58000</v>
      </c>
      <c r="E7" s="5">
        <v>4</v>
      </c>
      <c r="F7" s="2" t="s">
        <v>17</v>
      </c>
    </row>
    <row r="8" spans="1:9" ht="21.6" thickBot="1" x14ac:dyDescent="0.35">
      <c r="A8" s="5">
        <v>1007</v>
      </c>
      <c r="B8" s="6" t="s">
        <v>9</v>
      </c>
      <c r="C8" s="6" t="s">
        <v>7</v>
      </c>
      <c r="D8" s="7">
        <v>2800</v>
      </c>
      <c r="E8" s="9">
        <v>5</v>
      </c>
      <c r="F8" s="8" t="s">
        <v>8</v>
      </c>
    </row>
    <row r="9" spans="1:9" ht="21.6" thickBot="1" x14ac:dyDescent="0.35">
      <c r="A9" s="9">
        <v>1008</v>
      </c>
      <c r="B9" s="3" t="s">
        <v>15</v>
      </c>
      <c r="C9" s="3" t="s">
        <v>13</v>
      </c>
      <c r="D9" s="10">
        <v>27000</v>
      </c>
      <c r="E9" s="5">
        <v>12</v>
      </c>
      <c r="F9" s="2" t="s">
        <v>14</v>
      </c>
      <c r="H9" t="s">
        <v>24</v>
      </c>
      <c r="I9" s="1">
        <f>SUM(D2:D11,E3:E12)</f>
        <v>216580</v>
      </c>
    </row>
    <row r="10" spans="1:9" ht="21.6" thickBot="1" x14ac:dyDescent="0.35">
      <c r="A10" s="5">
        <v>1009</v>
      </c>
      <c r="B10" s="6" t="s">
        <v>6</v>
      </c>
      <c r="C10" s="6" t="s">
        <v>10</v>
      </c>
      <c r="D10" s="7"/>
      <c r="E10" s="9">
        <v>5</v>
      </c>
      <c r="F10" s="8" t="s">
        <v>17</v>
      </c>
      <c r="H10" t="s">
        <v>25</v>
      </c>
      <c r="I10">
        <f>SUMIF(B2:B11,"Laptop",D2:D11)</f>
        <v>173000</v>
      </c>
    </row>
    <row r="11" spans="1:9" ht="21.6" thickBot="1" x14ac:dyDescent="0.35">
      <c r="A11" s="9">
        <v>1010</v>
      </c>
      <c r="B11" s="3" t="s">
        <v>9</v>
      </c>
      <c r="C11" s="3" t="s">
        <v>16</v>
      </c>
      <c r="D11" s="10">
        <v>3200</v>
      </c>
      <c r="E11" s="5">
        <v>4</v>
      </c>
      <c r="F11" s="2" t="s">
        <v>18</v>
      </c>
      <c r="H11" t="s">
        <v>26</v>
      </c>
      <c r="I11">
        <f>SUMIFS(D2:D11,C2:C11,"North")</f>
        <v>65300</v>
      </c>
    </row>
    <row r="12" spans="1:9" ht="21.6" thickBot="1" x14ac:dyDescent="0.35">
      <c r="A12" s="11" t="s">
        <v>28</v>
      </c>
      <c r="B12" s="12"/>
      <c r="C12" s="12"/>
      <c r="D12" s="11"/>
      <c r="E12" s="9">
        <v>14</v>
      </c>
      <c r="F12" s="13">
        <f>SUBTOTAL(103,Sheet1!$F$2:$F$11)</f>
        <v>10</v>
      </c>
      <c r="H12" t="s">
        <v>27</v>
      </c>
      <c r="I12">
        <f>SUBTOTAL(9,D2:D11)</f>
        <v>216500</v>
      </c>
    </row>
    <row r="13" spans="1:9" ht="21.6" thickBot="1" x14ac:dyDescent="0.35">
      <c r="E13" s="11"/>
    </row>
    <row r="20" spans="7:9" x14ac:dyDescent="0.3">
      <c r="G20" t="s">
        <v>20</v>
      </c>
      <c r="H20">
        <f>COUNTA(D2:D11)</f>
        <v>8</v>
      </c>
    </row>
    <row r="21" spans="7:9" x14ac:dyDescent="0.3">
      <c r="G21" t="s">
        <v>22</v>
      </c>
      <c r="I21">
        <f>COUNTBLANK(D2:D11)</f>
        <v>2</v>
      </c>
    </row>
    <row r="22" spans="7:9" x14ac:dyDescent="0.3">
      <c r="G22" t="s">
        <v>21</v>
      </c>
      <c r="I22">
        <f>COUNTIF(C2:C11,"East")</f>
        <v>3</v>
      </c>
    </row>
    <row r="23" spans="7:9" x14ac:dyDescent="0.3">
      <c r="G23" t="s">
        <v>23</v>
      </c>
      <c r="I23">
        <f>COUNTIFS(C2:C11,"East",B2:B11,"Monitor")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2026-06-23T09:35:50Z</dcterms:created>
  <dcterms:modified xsi:type="dcterms:W3CDTF">2026-06-23T13:13:06Z</dcterms:modified>
</cp:coreProperties>
</file>