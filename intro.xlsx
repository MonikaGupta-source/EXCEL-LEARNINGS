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B3AF418B-1C05-46BE-85B0-C5D8B9BABA8B}" xr6:coauthVersionLast="47" xr6:coauthVersionMax="47" xr10:uidLastSave="{00000000-0000-0000-0000-000000000000}"/>
  <bookViews>
    <workbookView xWindow="-108" yWindow="-108" windowWidth="23256" windowHeight="12456" xr2:uid="{65952268-C3B1-4105-BD6A-EF210D4F0D64}"/>
  </bookViews>
  <sheets>
    <sheet name="Sheet1" sheetId="1" r:id="rId1"/>
  </sheets>
  <definedNames>
    <definedName name="A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F58" i="1"/>
  <c r="F56" i="1"/>
  <c r="F55" i="1"/>
  <c r="F54" i="1"/>
  <c r="F52" i="1"/>
  <c r="F53" i="1"/>
  <c r="F57" i="1"/>
  <c r="F59" i="1"/>
  <c r="F51" i="1"/>
  <c r="F44" i="1"/>
  <c r="F43" i="1"/>
  <c r="F42" i="1"/>
  <c r="F41" i="1"/>
  <c r="F45" i="1"/>
  <c r="F46" i="1"/>
  <c r="E24" i="1"/>
  <c r="E18" i="1"/>
  <c r="C24" i="1"/>
  <c r="C18" i="1"/>
</calcChain>
</file>

<file path=xl/sharedStrings.xml><?xml version="1.0" encoding="utf-8"?>
<sst xmlns="http://schemas.openxmlformats.org/spreadsheetml/2006/main" count="99" uniqueCount="73">
  <si>
    <t xml:space="preserve">Name </t>
  </si>
  <si>
    <t>Age</t>
  </si>
  <si>
    <t>Blood Group</t>
  </si>
  <si>
    <t>Height</t>
  </si>
  <si>
    <t>STUDENT DETAILS</t>
  </si>
  <si>
    <t xml:space="preserve">effect the standardization </t>
  </si>
  <si>
    <t xml:space="preserve">DO NOT EFFFECT THE STANDARDIZATION </t>
  </si>
  <si>
    <t>BASIC FORMULAS</t>
  </si>
  <si>
    <t>SUM</t>
  </si>
  <si>
    <t>AVG</t>
  </si>
  <si>
    <t xml:space="preserve">COUNT NUMBER </t>
  </si>
  <si>
    <t>MAX</t>
  </si>
  <si>
    <t>KUCH NHI \</t>
  </si>
  <si>
    <t xml:space="preserve">FILLING CELL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</si>
  <si>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</si>
  <si>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</si>
  <si>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</si>
  <si>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</si>
  <si>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</si>
  <si>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</si>
  <si>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</si>
  <si>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</si>
  <si>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</si>
  <si>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</si>
  <si>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</si>
  <si>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</si>
  <si>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</si>
  <si>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</si>
  <si>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</si>
  <si>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</si>
  <si>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</si>
  <si>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</si>
  <si>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</si>
  <si>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NUMBER1</t>
  </si>
  <si>
    <t>NUMBER2</t>
  </si>
  <si>
    <t>RESULT</t>
  </si>
  <si>
    <t>FULL NAME</t>
  </si>
  <si>
    <t xml:space="preserve">FIRST NAME </t>
  </si>
  <si>
    <t>LAST NAME</t>
  </si>
  <si>
    <t>MONIKA GUPTA</t>
  </si>
  <si>
    <t>MONIKA</t>
  </si>
  <si>
    <t>GUPTA</t>
  </si>
  <si>
    <t>KIRTI GUPTA</t>
  </si>
  <si>
    <t>DAKSH RAJPUT</t>
  </si>
  <si>
    <t>KRISHNA GUPTA</t>
  </si>
  <si>
    <t>GAYTI DEVI</t>
  </si>
  <si>
    <t>AJAY GUPTA</t>
  </si>
  <si>
    <t>KRISHH PANDE</t>
  </si>
  <si>
    <t>RIDHI SHARAMA</t>
  </si>
  <si>
    <t>VINOD RAJ</t>
  </si>
  <si>
    <t>KIRTI</t>
  </si>
  <si>
    <t>DAKSH</t>
  </si>
  <si>
    <t>KRISHNA</t>
  </si>
  <si>
    <t>GAYTI</t>
  </si>
  <si>
    <t>AJAY</t>
  </si>
  <si>
    <t>KRISHH</t>
  </si>
  <si>
    <t>RIDHI</t>
  </si>
  <si>
    <t>VINOD</t>
  </si>
  <si>
    <t>RAJPUT</t>
  </si>
  <si>
    <t>DEVI</t>
  </si>
  <si>
    <t>PANDE</t>
  </si>
  <si>
    <t>SHARAMA</t>
  </si>
  <si>
    <t>RAJ</t>
  </si>
  <si>
    <t>FLASH FILLING</t>
  </si>
  <si>
    <t>RELATIVE REF</t>
  </si>
  <si>
    <t>ABSOLUTE REF.</t>
  </si>
  <si>
    <t>NAME</t>
  </si>
  <si>
    <t>SALARY</t>
  </si>
  <si>
    <t>INCREASED SALARY</t>
  </si>
  <si>
    <t>INCREAMENT</t>
  </si>
  <si>
    <t>MIXED REF.</t>
  </si>
  <si>
    <t>BONUSED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</si>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</sst>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&quot;₹&quot;\ #,##0.00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Brush Script MT"/>
      <family val="4"/>
    </font>
    <font>
      <sz val="18"/>
      <color rgb="FF92D050"/>
      <name val="Arial Black"/>
      <family val="2"/>
    </font>
    <font>
      <sz val="18"/>
      <color theme="7" tint="-0.499984740745262"/>
      <name val="Amasis MT Pro Medium"/>
      <family val="1"/>
    </font>
    <font>
      <sz val="16"/>
      <color rgb="FFFF0000"/>
      <name val="Algerian"/>
      <family val="5"/>
    </font>
    <font>
      <sz val="18"/>
      <color rgb="FF002060"/>
      <name val="Algerian"/>
      <family val="5"/>
    </font>
    <font>
      <sz val="18"/>
      <color theme="6" tint="-0.249977111117893"/>
      <name val="Bahnschrift Condensed"/>
      <family val="2"/>
    </font>
    <font>
      <sz val="16"/>
      <color theme="1"/>
      <name val="Algerian"/>
      <family val="5"/>
    </font>
    <font>
      <sz val="22"/>
      <color theme="1"/>
      <name val="Arial Black"/>
      <family val="2"/>
    </font>
    <font>
      <sz val="8"/>
      <name val="Calibri"/>
      <family val="2"/>
      <scheme val="minor"/>
    </font>
    <font>
      <sz val="14"/>
      <color rgb="FF7030A0"/>
      <name val="Algerian"/>
      <family val="5"/>
    </font>
    <font>
      <sz val="20"/>
      <color theme="1"/>
      <name val="Franklin Gothic Heavy"/>
      <family val="2"/>
    </font>
    <font>
      <sz val="11"/>
      <color theme="1"/>
      <name val="Segoe UI Black"/>
      <family val="2"/>
    </font>
    <font>
      <i/>
      <sz val="20"/>
      <color theme="1"/>
      <name val="Segoe UI Black"/>
      <family val="2"/>
    </font>
    <font>
      <b/>
      <i/>
      <u/>
      <sz val="16"/>
      <color theme="1"/>
      <name val="Calibri"/>
      <family val="2"/>
      <scheme val="minor"/>
    </font>
    <font>
      <sz val="14"/>
      <color theme="1"/>
      <name val="Arial Black"/>
      <family val="2"/>
    </font>
    <font>
      <sz val="16"/>
      <color theme="1"/>
      <name val="Arial Black"/>
      <family val="2"/>
    </font>
    <font>
      <b/>
      <i/>
      <sz val="22"/>
      <color theme="1"/>
      <name val="Bodoni MT Black"/>
      <family val="1"/>
    </font>
    <font>
      <sz val="11"/>
      <color theme="1"/>
      <name val="Bodoni MT Black"/>
      <family val="1"/>
    </font>
    <font>
      <sz val="22"/>
      <color theme="1"/>
      <name val="Britannic Bold"/>
      <family val="2"/>
    </font>
    <font>
      <b/>
      <sz val="20"/>
      <color theme="1"/>
      <name val="Arial Black"/>
      <family val="2"/>
    </font>
    <font>
      <b/>
      <sz val="2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081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343B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4" borderId="0" xfId="0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2" fillId="0" borderId="0" xfId="0" applyFont="1"/>
    <xf numFmtId="0" fontId="3" fillId="5" borderId="0" xfId="0" applyFont="1" applyFill="1" applyAlignment="1">
      <alignment horizontal="centerContinuous"/>
    </xf>
    <xf numFmtId="0" fontId="4" fillId="8" borderId="0" xfId="0" applyFont="1" applyFill="1"/>
    <xf numFmtId="0" fontId="5" fillId="7" borderId="0" xfId="0" applyFont="1" applyFill="1" applyAlignment="1">
      <alignment wrapText="1"/>
    </xf>
    <xf numFmtId="0" fontId="6" fillId="4" borderId="0" xfId="0" applyFont="1" applyFill="1"/>
    <xf numFmtId="0" fontId="9" fillId="9" borderId="0" xfId="0" applyFont="1" applyFill="1"/>
    <xf numFmtId="164" fontId="0" fillId="0" borderId="0" xfId="0" applyNumberFormat="1"/>
    <xf numFmtId="0" fontId="10" fillId="0" borderId="0" xfId="0" applyFont="1" applyAlignment="1">
      <alignment horizontal="centerContinuous"/>
    </xf>
    <xf numFmtId="0" fontId="5" fillId="11" borderId="0" xfId="0" applyFont="1" applyFill="1" applyAlignment="1">
      <alignment wrapText="1"/>
    </xf>
    <xf numFmtId="0" fontId="2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0" fillId="12" borderId="0" xfId="0" applyFill="1"/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0" fontId="14" fillId="0" borderId="0" xfId="0" applyFont="1" applyAlignment="1">
      <alignment horizontal="centerContinuous"/>
    </xf>
    <xf numFmtId="0" fontId="15" fillId="0" borderId="0" xfId="0" applyFont="1" applyAlignment="1">
      <alignment horizontal="centerContinuous"/>
    </xf>
    <xf numFmtId="0" fontId="16" fillId="0" borderId="0" xfId="0" applyFont="1" applyAlignment="1">
      <alignment horizontal="centerContinuous"/>
    </xf>
    <xf numFmtId="0" fontId="17" fillId="0" borderId="0" xfId="0" applyFont="1"/>
    <xf numFmtId="166" fontId="0" fillId="0" borderId="0" xfId="0" applyNumberFormat="1"/>
    <xf numFmtId="0" fontId="19" fillId="0" borderId="0" xfId="0" applyFont="1"/>
    <xf numFmtId="9" fontId="18" fillId="0" borderId="0" xfId="0" applyNumberFormat="1" applyFont="1"/>
    <xf numFmtId="0" fontId="20" fillId="0" borderId="0" xfId="0" applyFont="1" applyAlignment="1">
      <alignment horizontal="centerContinuous"/>
    </xf>
    <xf numFmtId="0" fontId="21" fillId="0" borderId="0" xfId="0" applyFont="1" applyAlignment="1">
      <alignment horizontal="centerContinuous"/>
    </xf>
    <xf numFmtId="166" fontId="2" fillId="0" borderId="0" xfId="0" applyNumberFormat="1" applyFont="1"/>
    <xf numFmtId="0" fontId="22" fillId="0" borderId="0" xfId="0" applyFont="1" applyAlignment="1">
      <alignment horizontal="centerContinuous"/>
    </xf>
    <xf numFmtId="0" fontId="23" fillId="0" borderId="0" xfId="0" applyFont="1"/>
    <xf numFmtId="9" fontId="2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343B3"/>
      <color rgb="FF1E08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8134-C6BE-4AD4-97B3-507C0C681047}">
  <dimension ref="B2:M78"/>
  <sheetViews>
    <sheetView tabSelected="1" topLeftCell="C63" zoomScale="92" zoomScaleNormal="100" workbookViewId="0">
      <selection activeCell="C69" sqref="C69"/>
    </sheetView>
  </sheetViews>
  <sheetFormatPr defaultRowHeight="23.4" x14ac:dyDescent="0.45"/>
  <cols>
    <col min="3" max="4" width="26.6640625" customWidth="1"/>
    <col min="5" max="5" width="26.44140625" customWidth="1"/>
    <col min="6" max="6" width="26.88671875" style="5" customWidth="1"/>
    <col min="7" max="7" width="24.77734375" customWidth="1"/>
    <col min="8" max="8" width="15.88671875" customWidth="1"/>
    <col min="9" max="9" width="15.6640625" style="19" customWidth="1"/>
    <col min="10" max="10" width="15.6640625" customWidth="1"/>
    <col min="11" max="11" width="31.88671875" style="11" customWidth="1"/>
  </cols>
  <sheetData>
    <row r="2" spans="3:13" ht="18" customHeight="1" x14ac:dyDescent="0.45">
      <c r="C2" s="17" t="s">
        <v>4</v>
      </c>
      <c r="D2" s="17"/>
      <c r="E2" s="17"/>
      <c r="F2" s="17"/>
      <c r="G2" s="17"/>
    </row>
    <row r="3" spans="3:13" ht="27.6" x14ac:dyDescent="0.65">
      <c r="C3" s="8" t="s">
        <v>0</v>
      </c>
      <c r="D3" s="13" t="s">
        <v>12</v>
      </c>
      <c r="E3" s="9" t="s">
        <v>1</v>
      </c>
      <c r="F3" s="10" t="s">
        <v>2</v>
      </c>
      <c r="G3" s="7" t="s">
        <v>3</v>
      </c>
      <c r="I3" s="19">
        <v>89</v>
      </c>
      <c r="J3">
        <v>89</v>
      </c>
      <c r="K3" s="11">
        <v>650</v>
      </c>
      <c r="L3">
        <v>78</v>
      </c>
      <c r="M3">
        <v>87</v>
      </c>
    </row>
    <row r="4" spans="3:13" x14ac:dyDescent="0.45">
      <c r="I4" s="19">
        <v>65</v>
      </c>
      <c r="J4">
        <v>56</v>
      </c>
      <c r="K4" s="11">
        <v>78</v>
      </c>
      <c r="L4">
        <v>45</v>
      </c>
      <c r="M4">
        <v>788</v>
      </c>
    </row>
    <row r="5" spans="3:13" x14ac:dyDescent="0.45">
      <c r="I5" s="19">
        <v>78</v>
      </c>
      <c r="J5">
        <v>8</v>
      </c>
      <c r="K5" s="11">
        <v>65</v>
      </c>
      <c r="L5">
        <v>78</v>
      </c>
      <c r="M5">
        <v>89</v>
      </c>
    </row>
    <row r="6" spans="3:13" ht="25.2" x14ac:dyDescent="0.5">
      <c r="C6" s="18" t="s">
        <v>5</v>
      </c>
      <c r="D6" s="18"/>
      <c r="E6" s="18"/>
      <c r="F6" s="18"/>
      <c r="G6" s="18"/>
      <c r="I6" s="19">
        <v>89</v>
      </c>
      <c r="J6">
        <v>94</v>
      </c>
      <c r="K6" s="11">
        <v>9</v>
      </c>
      <c r="L6">
        <v>56</v>
      </c>
      <c r="M6">
        <v>45</v>
      </c>
    </row>
    <row r="7" spans="3:13" x14ac:dyDescent="0.45">
      <c r="I7" s="19">
        <v>1000</v>
      </c>
      <c r="J7">
        <v>9</v>
      </c>
      <c r="K7" s="11">
        <v>4</v>
      </c>
      <c r="L7">
        <v>79</v>
      </c>
      <c r="M7">
        <v>6</v>
      </c>
    </row>
    <row r="8" spans="3:13" x14ac:dyDescent="0.45">
      <c r="C8" s="3" t="s">
        <v>6</v>
      </c>
      <c r="D8" s="3"/>
      <c r="E8" s="4"/>
      <c r="F8" s="6"/>
      <c r="G8" s="2"/>
      <c r="K8" s="11">
        <v>36067</v>
      </c>
    </row>
    <row r="9" spans="3:13" x14ac:dyDescent="0.45">
      <c r="K9" s="11">
        <v>39115</v>
      </c>
    </row>
    <row r="10" spans="3:13" x14ac:dyDescent="0.45">
      <c r="I10" s="19">
        <v>8</v>
      </c>
      <c r="K10" s="11">
        <v>12</v>
      </c>
    </row>
    <row r="11" spans="3:13" x14ac:dyDescent="0.45">
      <c r="E11" s="1"/>
      <c r="I11" s="19">
        <v>78</v>
      </c>
      <c r="K11" s="11">
        <v>145</v>
      </c>
    </row>
    <row r="12" spans="3:13" ht="19.8" x14ac:dyDescent="0.4">
      <c r="F12"/>
      <c r="K12" s="11">
        <v>38985</v>
      </c>
    </row>
    <row r="13" spans="3:13" ht="22.8" x14ac:dyDescent="0.45">
      <c r="C13" s="12" t="s">
        <v>7</v>
      </c>
      <c r="D13" s="12"/>
      <c r="E13" s="12"/>
      <c r="F13" s="12"/>
    </row>
    <row r="14" spans="3:13" x14ac:dyDescent="0.45">
      <c r="C14">
        <v>4</v>
      </c>
      <c r="E14">
        <v>4</v>
      </c>
    </row>
    <row r="15" spans="3:13" x14ac:dyDescent="0.45">
      <c r="C15">
        <v>5</v>
      </c>
      <c r="E15">
        <v>5</v>
      </c>
    </row>
    <row r="16" spans="3:13" x14ac:dyDescent="0.45">
      <c r="C16">
        <v>78</v>
      </c>
      <c r="E16">
        <v>78</v>
      </c>
    </row>
    <row r="17" spans="2:9" x14ac:dyDescent="0.45">
      <c r="C17">
        <v>45</v>
      </c>
      <c r="E17">
        <v>45</v>
      </c>
    </row>
    <row r="18" spans="2:9" x14ac:dyDescent="0.45">
      <c r="B18" t="s">
        <v>8</v>
      </c>
      <c r="C18">
        <f>SUM(C14:C17)</f>
        <v>132</v>
      </c>
      <c r="D18" t="s">
        <v>10</v>
      </c>
      <c r="E18">
        <f>COUNT(E14:E17)</f>
        <v>4</v>
      </c>
    </row>
    <row r="20" spans="2:9" x14ac:dyDescent="0.45">
      <c r="C20">
        <v>4</v>
      </c>
      <c r="E20">
        <v>4</v>
      </c>
    </row>
    <row r="21" spans="2:9" x14ac:dyDescent="0.45">
      <c r="C21">
        <v>5</v>
      </c>
      <c r="E21">
        <v>5</v>
      </c>
    </row>
    <row r="22" spans="2:9" x14ac:dyDescent="0.45">
      <c r="C22">
        <v>78</v>
      </c>
      <c r="E22">
        <v>78</v>
      </c>
    </row>
    <row r="23" spans="2:9" x14ac:dyDescent="0.45">
      <c r="C23">
        <v>45</v>
      </c>
      <c r="E23">
        <v>45</v>
      </c>
    </row>
    <row r="24" spans="2:9" x14ac:dyDescent="0.45">
      <c r="B24" t="s">
        <v>9</v>
      </c>
      <c r="C24">
        <f>AVERAGE(C20:C23)</f>
        <v>33</v>
      </c>
      <c r="D24" t="s">
        <v>11</v>
      </c>
      <c r="E24">
        <f>MAX(E20:E23)</f>
        <v>78</v>
      </c>
    </row>
    <row r="26" spans="2:9" ht="34.200000000000003" x14ac:dyDescent="0.8">
      <c r="C26" s="2"/>
      <c r="D26" s="15" t="s">
        <v>13</v>
      </c>
      <c r="E26" s="2"/>
      <c r="F26" s="14"/>
      <c r="G26" s="20" t="s">
        <v>63</v>
      </c>
      <c r="H26" s="2"/>
      <c r="I26" s="2"/>
    </row>
    <row r="27" spans="2:9" x14ac:dyDescent="0.45">
      <c r="D27" s="16">
        <v>1</v>
      </c>
      <c r="E27" t="s">
        <v>14</v>
      </c>
      <c r="F27" s="5" t="s">
        <v>24</v>
      </c>
      <c r="G27" t="s">
        <v>36</v>
      </c>
      <c r="H27" t="s">
        <v>37</v>
      </c>
      <c r="I27" s="19" t="s">
        <v>38</v>
      </c>
    </row>
    <row r="28" spans="2:9" x14ac:dyDescent="0.45">
      <c r="D28" s="16">
        <v>2</v>
      </c>
      <c r="E28" t="s">
        <v>15</v>
      </c>
      <c r="F28" s="5" t="s">
        <v>25</v>
      </c>
      <c r="G28" t="s">
        <v>39</v>
      </c>
      <c r="H28" t="s">
        <v>40</v>
      </c>
      <c r="I28" s="19" t="s">
        <v>41</v>
      </c>
    </row>
    <row r="29" spans="2:9" x14ac:dyDescent="0.45">
      <c r="D29" s="16">
        <v>3</v>
      </c>
      <c r="E29" t="s">
        <v>16</v>
      </c>
      <c r="F29" s="5" t="s">
        <v>26</v>
      </c>
      <c r="G29" t="s">
        <v>42</v>
      </c>
      <c r="H29" t="s">
        <v>50</v>
      </c>
      <c r="I29" s="19" t="s">
        <v>41</v>
      </c>
    </row>
    <row r="30" spans="2:9" x14ac:dyDescent="0.45">
      <c r="D30" s="16">
        <v>4</v>
      </c>
      <c r="E30" t="s">
        <v>17</v>
      </c>
      <c r="F30" s="5" t="s">
        <v>27</v>
      </c>
      <c r="G30" t="s">
        <v>43</v>
      </c>
      <c r="H30" t="s">
        <v>51</v>
      </c>
      <c r="I30" s="19" t="s">
        <v>58</v>
      </c>
    </row>
    <row r="31" spans="2:9" x14ac:dyDescent="0.45">
      <c r="D31" s="16">
        <v>5</v>
      </c>
      <c r="E31" t="s">
        <v>18</v>
      </c>
      <c r="F31" s="5" t="s">
        <v>18</v>
      </c>
      <c r="G31" t="s">
        <v>44</v>
      </c>
      <c r="H31" t="s">
        <v>52</v>
      </c>
      <c r="I31" s="19" t="s">
        <v>41</v>
      </c>
    </row>
    <row r="32" spans="2:9" x14ac:dyDescent="0.45">
      <c r="D32" s="16">
        <v>6</v>
      </c>
      <c r="E32" t="s">
        <v>19</v>
      </c>
      <c r="F32" s="5" t="s">
        <v>28</v>
      </c>
      <c r="G32" t="s">
        <v>45</v>
      </c>
      <c r="H32" t="s">
        <v>53</v>
      </c>
      <c r="I32" s="19" t="s">
        <v>59</v>
      </c>
    </row>
    <row r="33" spans="4:9" x14ac:dyDescent="0.45">
      <c r="D33" s="16">
        <v>7</v>
      </c>
      <c r="E33" t="s">
        <v>20</v>
      </c>
      <c r="F33" s="5" t="s">
        <v>29</v>
      </c>
      <c r="G33" t="s">
        <v>46</v>
      </c>
      <c r="H33" t="s">
        <v>54</v>
      </c>
      <c r="I33" s="19" t="s">
        <v>41</v>
      </c>
    </row>
    <row r="34" spans="4:9" x14ac:dyDescent="0.45">
      <c r="D34" s="16">
        <v>8</v>
      </c>
      <c r="E34" t="s">
        <v>21</v>
      </c>
      <c r="F34" s="5" t="s">
        <v>30</v>
      </c>
      <c r="G34" t="s">
        <v>47</v>
      </c>
      <c r="H34" t="s">
        <v>55</v>
      </c>
      <c r="I34" s="19" t="s">
        <v>60</v>
      </c>
    </row>
    <row r="35" spans="4:9" x14ac:dyDescent="0.45">
      <c r="D35" s="16">
        <v>9</v>
      </c>
      <c r="E35" t="s">
        <v>22</v>
      </c>
      <c r="F35" s="5" t="s">
        <v>31</v>
      </c>
      <c r="G35" t="s">
        <v>48</v>
      </c>
      <c r="H35" t="s">
        <v>56</v>
      </c>
      <c r="I35" s="19" t="s">
        <v>61</v>
      </c>
    </row>
    <row r="36" spans="4:9" x14ac:dyDescent="0.45">
      <c r="D36" s="16">
        <v>10</v>
      </c>
      <c r="E36" t="s">
        <v>23</v>
      </c>
      <c r="F36" s="5" t="s">
        <v>32</v>
      </c>
      <c r="G36" t="s">
        <v>49</v>
      </c>
      <c r="H36" t="s">
        <v>57</v>
      </c>
      <c r="I36" s="19" t="s">
        <v>62</v>
      </c>
    </row>
    <row r="39" spans="4:9" ht="29.4" x14ac:dyDescent="0.65">
      <c r="D39" s="22" t="s">
        <v>64</v>
      </c>
      <c r="E39" s="21"/>
      <c r="F39" s="21"/>
    </row>
    <row r="40" spans="4:9" ht="21" x14ac:dyDescent="0.4">
      <c r="D40" s="23" t="s">
        <v>33</v>
      </c>
      <c r="E40" s="23" t="s">
        <v>34</v>
      </c>
      <c r="F40" s="23" t="s">
        <v>35</v>
      </c>
    </row>
    <row r="41" spans="4:9" x14ac:dyDescent="0.45">
      <c r="D41">
        <v>45</v>
      </c>
      <c r="E41">
        <v>54</v>
      </c>
      <c r="F41" s="5">
        <f>D41+E41</f>
        <v>99</v>
      </c>
    </row>
    <row r="42" spans="4:9" x14ac:dyDescent="0.45">
      <c r="D42">
        <v>45</v>
      </c>
      <c r="E42">
        <v>78</v>
      </c>
      <c r="F42" s="5">
        <f>D42+E42</f>
        <v>123</v>
      </c>
    </row>
    <row r="43" spans="4:9" x14ac:dyDescent="0.45">
      <c r="D43">
        <v>8</v>
      </c>
      <c r="E43">
        <v>45</v>
      </c>
      <c r="F43" s="5">
        <f>D43+E43</f>
        <v>53</v>
      </c>
    </row>
    <row r="44" spans="4:9" x14ac:dyDescent="0.45">
      <c r="D44">
        <v>96</v>
      </c>
      <c r="E44">
        <v>85</v>
      </c>
      <c r="F44" s="5">
        <f>D44+E44</f>
        <v>181</v>
      </c>
    </row>
    <row r="45" spans="4:9" x14ac:dyDescent="0.45">
      <c r="D45">
        <v>123</v>
      </c>
      <c r="E45">
        <v>79</v>
      </c>
      <c r="F45" s="5">
        <f t="shared" ref="F42:F46" si="0">D45+E45</f>
        <v>202</v>
      </c>
    </row>
    <row r="46" spans="4:9" x14ac:dyDescent="0.45">
      <c r="D46">
        <v>789</v>
      </c>
      <c r="E46">
        <v>32</v>
      </c>
      <c r="F46" s="5">
        <f t="shared" si="0"/>
        <v>821</v>
      </c>
    </row>
    <row r="49" spans="4:6" ht="28.2" x14ac:dyDescent="0.5">
      <c r="D49" s="27" t="s">
        <v>65</v>
      </c>
      <c r="E49" s="28"/>
      <c r="F49" s="28"/>
    </row>
    <row r="50" spans="4:6" ht="21" x14ac:dyDescent="0.4">
      <c r="D50" s="23" t="s">
        <v>66</v>
      </c>
      <c r="E50" s="23" t="s">
        <v>67</v>
      </c>
      <c r="F50" s="23" t="s">
        <v>68</v>
      </c>
    </row>
    <row r="51" spans="4:6" x14ac:dyDescent="0.45">
      <c r="D51" t="s">
        <v>39</v>
      </c>
      <c r="E51" s="24">
        <v>400000</v>
      </c>
      <c r="F51" s="29">
        <f>E51+(E51*$E$61)</f>
        <v>480000</v>
      </c>
    </row>
    <row r="52" spans="4:6" x14ac:dyDescent="0.45">
      <c r="D52" t="s">
        <v>42</v>
      </c>
      <c r="E52" s="24">
        <v>500001</v>
      </c>
      <c r="F52" s="29">
        <f>E52+(E52*$E$61)</f>
        <v>600001.19999999995</v>
      </c>
    </row>
    <row r="53" spans="4:6" x14ac:dyDescent="0.45">
      <c r="D53" t="s">
        <v>43</v>
      </c>
      <c r="E53" s="24">
        <v>600002</v>
      </c>
      <c r="F53" s="29">
        <f t="shared" ref="F52:F59" si="1">E53+(E53*$E$61)</f>
        <v>720002.4</v>
      </c>
    </row>
    <row r="54" spans="4:6" x14ac:dyDescent="0.45">
      <c r="D54" t="s">
        <v>44</v>
      </c>
      <c r="E54" s="24">
        <v>900003</v>
      </c>
      <c r="F54" s="29">
        <f>E54+(E54*$E$61)</f>
        <v>1080003.6000000001</v>
      </c>
    </row>
    <row r="55" spans="4:6" x14ac:dyDescent="0.45">
      <c r="D55" t="s">
        <v>45</v>
      </c>
      <c r="E55" s="24">
        <v>300004</v>
      </c>
      <c r="F55" s="29">
        <f>E55+(E55*$E$61)</f>
        <v>360004.8</v>
      </c>
    </row>
    <row r="56" spans="4:6" x14ac:dyDescent="0.45">
      <c r="D56" t="s">
        <v>46</v>
      </c>
      <c r="E56" s="24">
        <v>700005</v>
      </c>
      <c r="F56" s="29">
        <f>E56+(E56*$E$61)</f>
        <v>840006</v>
      </c>
    </row>
    <row r="57" spans="4:6" x14ac:dyDescent="0.45">
      <c r="D57" t="s">
        <v>47</v>
      </c>
      <c r="E57" s="24">
        <v>700006</v>
      </c>
      <c r="F57" s="29">
        <f t="shared" si="1"/>
        <v>840007.2</v>
      </c>
    </row>
    <row r="58" spans="4:6" x14ac:dyDescent="0.45">
      <c r="D58" t="s">
        <v>48</v>
      </c>
      <c r="E58" s="24">
        <v>900007</v>
      </c>
      <c r="F58" s="29">
        <f>E58+(E58*$E$61)</f>
        <v>1080008.3999999999</v>
      </c>
    </row>
    <row r="59" spans="4:6" x14ac:dyDescent="0.45">
      <c r="D59" t="s">
        <v>49</v>
      </c>
      <c r="E59" s="24">
        <v>800008</v>
      </c>
      <c r="F59" s="29">
        <f t="shared" si="1"/>
        <v>960009.6</v>
      </c>
    </row>
    <row r="61" spans="4:6" ht="25.2" x14ac:dyDescent="0.6">
      <c r="D61" s="25" t="s">
        <v>69</v>
      </c>
      <c r="E61" s="26">
        <v>0.2</v>
      </c>
    </row>
    <row r="65" spans="4:7" ht="27.6" x14ac:dyDescent="0.45">
      <c r="D65" s="30" t="s">
        <v>70</v>
      </c>
      <c r="E65" s="30"/>
      <c r="F65" s="30"/>
      <c r="G65" s="30"/>
    </row>
    <row r="66" spans="4:7" ht="21" x14ac:dyDescent="0.4">
      <c r="D66" s="23" t="s">
        <v>66</v>
      </c>
      <c r="E66" s="23" t="s">
        <v>67</v>
      </c>
      <c r="F66" s="23" t="s">
        <v>68</v>
      </c>
      <c r="G66" s="23" t="s">
        <v>71</v>
      </c>
    </row>
    <row r="67" spans="4:7" x14ac:dyDescent="0.45">
      <c r="D67" t="s">
        <v>39</v>
      </c>
      <c r="E67" s="24">
        <v>400000</v>
      </c>
      <c r="F67" s="29">
        <f>E67+(E67*E77)</f>
        <v>480000</v>
      </c>
    </row>
    <row r="68" spans="4:7" x14ac:dyDescent="0.45">
      <c r="D68" t="s">
        <v>42</v>
      </c>
      <c r="E68" s="24">
        <v>500001</v>
      </c>
    </row>
    <row r="69" spans="4:7" x14ac:dyDescent="0.45">
      <c r="D69" t="s">
        <v>43</v>
      </c>
      <c r="E69" s="24">
        <v>600002</v>
      </c>
    </row>
    <row r="70" spans="4:7" x14ac:dyDescent="0.45">
      <c r="D70" t="s">
        <v>44</v>
      </c>
      <c r="E70" s="24">
        <v>900003</v>
      </c>
    </row>
    <row r="71" spans="4:7" x14ac:dyDescent="0.45">
      <c r="D71" t="s">
        <v>45</v>
      </c>
      <c r="E71" s="24">
        <v>300004</v>
      </c>
    </row>
    <row r="72" spans="4:7" x14ac:dyDescent="0.45">
      <c r="D72" t="s">
        <v>46</v>
      </c>
      <c r="E72" s="24">
        <v>700005</v>
      </c>
    </row>
    <row r="73" spans="4:7" x14ac:dyDescent="0.45">
      <c r="D73" t="s">
        <v>47</v>
      </c>
      <c r="E73" s="24">
        <v>700006</v>
      </c>
    </row>
    <row r="74" spans="4:7" x14ac:dyDescent="0.45">
      <c r="D74" t="s">
        <v>48</v>
      </c>
      <c r="E74" s="24">
        <v>900007</v>
      </c>
    </row>
    <row r="75" spans="4:7" x14ac:dyDescent="0.45">
      <c r="D75" t="s">
        <v>49</v>
      </c>
      <c r="E75" s="24">
        <v>800008</v>
      </c>
    </row>
    <row r="77" spans="4:7" ht="25.2" x14ac:dyDescent="0.6">
      <c r="D77" s="25" t="s">
        <v>69</v>
      </c>
      <c r="E77" s="26">
        <v>0.2</v>
      </c>
    </row>
    <row r="78" spans="4:7" ht="32.4" x14ac:dyDescent="0.7">
      <c r="D78" s="31" t="s">
        <v>72</v>
      </c>
      <c r="E78" s="32">
        <v>0.05</v>
      </c>
    </row>
  </sheetData>
  <mergeCells count="2">
    <mergeCell ref="C2:G2"/>
    <mergeCell ref="C6:G6"/>
  </mergeCells>
  <phoneticPr fontId="1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krishna6953244@gmail.com</dc:creator>
  <cp:lastModifiedBy>monika8920193@gmail.com</cp:lastModifiedBy>
  <dcterms:created xsi:type="dcterms:W3CDTF">2026-04-08T10:14:00Z</dcterms:created>
  <dcterms:modified xsi:type="dcterms:W3CDTF">2026-04-28T10:34:04Z</dcterms:modified>
</cp:coreProperties>
</file>